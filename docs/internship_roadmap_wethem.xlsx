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ilan/Documents/"/>
    </mc:Choice>
  </mc:AlternateContent>
  <xr:revisionPtr revIDLastSave="0" documentId="13_ncr:1_{99CF2363-9641-DB47-8C18-EBE5819B317C}" xr6:coauthVersionLast="47" xr6:coauthVersionMax="47" xr10:uidLastSave="{00000000-0000-0000-0000-000000000000}"/>
  <bookViews>
    <workbookView xWindow="200" yWindow="840" windowWidth="14400" windowHeight="18080" xr2:uid="{00000000-000D-0000-FFFF-FFFF00000000}"/>
  </bookViews>
  <sheets>
    <sheet name="Roadmap Overview" sheetId="1" r:id="rId1"/>
    <sheet name="Weekly Task Tracker" sheetId="2" r:id="rId2"/>
  </sheets>
  <definedNames>
    <definedName name="_xlnm.Print_Area" localSheetId="0">'Roadmap Overview'!$A$1:$G$17</definedName>
    <definedName name="_xlnm.Print_Area" localSheetId="1">'Weekly Task Tracker'!$A$1:$G$37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2" l="1"/>
  <c r="F37" i="2"/>
  <c r="G37" i="2" s="1"/>
  <c r="G36" i="2"/>
  <c r="G35" i="2"/>
  <c r="G34" i="2"/>
  <c r="G33" i="2"/>
  <c r="G32" i="2"/>
  <c r="G31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<sst xmlns="http://schemas.openxmlformats.org/spreadsheetml/2006/main" count="295" uniqueCount="136">
  <si>
    <t>#</t>
  </si>
  <si>
    <t>Week / Phase</t>
  </si>
  <si>
    <t>Dates</t>
  </si>
  <si>
    <t>Main Activities</t>
  </si>
  <si>
    <t>Deliverable</t>
  </si>
  <si>
    <t>Tools / Methods</t>
  </si>
  <si>
    <t>Status</t>
  </si>
  <si>
    <t>PHASE 1 · Data Acquisition &amp; Preliminary Analysis   (Weeks 1–2)</t>
  </si>
  <si>
    <t>W1</t>
  </si>
  <si>
    <t>Week 1</t>
  </si>
  <si>
    <t>13–17 Apr</t>
  </si>
  <si>
    <t>• Set up Python env (PRAW, yt-dlp, HuggingFace Transformers)
• Implement safe Reddit &amp; YouTube scraping
• Design metadata schema: post_id, platform, timestamp, engagement, text, language, toxicity_raw
• Init Git repo + data dictionary</t>
  </si>
  <si>
    <t>GitHub repo + data dictionary doc</t>
  </si>
  <si>
    <t>Python, PRAW, yt-dlp, pandas</t>
  </si>
  <si>
    <t>🔄 In progress</t>
  </si>
  <si>
    <t>W2</t>
  </si>
  <si>
    <t>Week 2</t>
  </si>
  <si>
    <t>20–24 Apr</t>
  </si>
  <si>
    <t>• Data cleaning: dedup, lang-detect (langdetect), null handling
• Negativity × engagement correlation (Spearman ρ)
• We/Them baseline: pronoun ratio + custom lexicon match
• Time-of-day &amp; reply-depth distribution plots</t>
  </si>
  <si>
    <t>EDA notebook + baseline metrics report</t>
  </si>
  <si>
    <t>pandas, scipy, matplotlib, seaborn</t>
  </si>
  <si>
    <t>⬜ Not started</t>
  </si>
  <si>
    <t>PHASE 2 · Multimodal Analysis &amp; Network Science   (Weeks 3–5)</t>
  </si>
  <si>
    <t>W3</t>
  </si>
  <si>
    <t>Week 3</t>
  </si>
  <si>
    <t>27 Apr–1 May</t>
  </si>
  <si>
    <t>• Prototype CLIP zero-shot pipeline (openai/clip-vit-base-patch32)
• Compute image–text cosine similarity on Instagram subset
• Label meme categories (in-group / out-group / neutral)
• Evaluate alignment between visual &amp; textual We/Them cues</t>
  </si>
  <si>
    <t>CLIP eval report + labelled dataset</t>
  </si>
  <si>
    <t>HuggingFace CLIP, PIL, scikit-learn</t>
  </si>
  <si>
    <t>W4</t>
  </si>
  <si>
    <t>Week 4</t>
  </si>
  <si>
    <t>4–8 May</t>
  </si>
  <si>
    <t>• Build hashtag co-occurrence matrix (window = 5 tokens)
• Construct weighted undirected graph with NetworkX
• Compute degree, betweenness centrality &amp; PageRank
• Run Louvain community detection → identify narrative clusters</t>
  </si>
  <si>
    <t>Network visualisation + centrality stats CSV</t>
  </si>
  <si>
    <t>NetworkX, python-louvain, pyvis</t>
  </si>
  <si>
    <t>W5</t>
  </si>
  <si>
    <t>Week 5</t>
  </si>
  <si>
    <t>11–15 May</t>
  </si>
  <si>
    <t>• Build directed reply/reshare interaction graphs
• Detect echo chambers: modularity score + internal vs external density ratio
• Merge cross-platform graphs (Reddit / YouTube / Instagram)
• Map We/Them prevalence per detected community</t>
  </si>
  <si>
    <t>Echo chamber analysis report + graph exports</t>
  </si>
  <si>
    <t>NetworkX, igraph, gephi (optional)</t>
  </si>
  <si>
    <t>PHASE 3 · Linguistic Mapping &amp; Dashboarding   (Weeks 6–8)</t>
  </si>
  <si>
    <t>W6</t>
  </si>
  <si>
    <t>Week 6</t>
  </si>
  <si>
    <t>18–22 May</t>
  </si>
  <si>
    <t>• Compute We/Them pronoun ratio per community/topic cluster
• Score toxicity via Perspective API (attributeScores)
• Generate cluster-level heatmaps
• Calculate polarization index = We/Them ratio × mean toxicity</t>
  </si>
  <si>
    <t>Annotated heatmaps + toxicity CSV</t>
  </si>
  <si>
    <t>Perspective API, seaborn, plotly</t>
  </si>
  <si>
    <t>W7</t>
  </si>
  <si>
    <t>Week 7</t>
  </si>
  <si>
    <t>25–29 May</t>
  </si>
  <si>
    <t>• Build Streamlit app skeleton with sidebar filters (platform, date, topic)
• Implement cross-platform comparison tab
• Integrate network visualisation + toxicity charts (Plotly/Altair)
• Add We/Them prevalence time-series tab</t>
  </si>
  <si>
    <t>Live Streamlit app (localhost demo)</t>
  </si>
  <si>
    <t>Streamlit, Plotly, Altair</t>
  </si>
  <si>
    <t>W8</t>
  </si>
  <si>
    <t>Week 8</t>
  </si>
  <si>
    <t>1–5 Jun</t>
  </si>
  <si>
    <t>• Produce final comparative tables: negativity, toxicity, topic density, engagement
• QA dashboard: edge cases, mobile responsiveness, filter bugs
• Mid-point supervisor review session
• Incorporate feedback → v1.0 dashboard release</t>
  </si>
  <si>
    <t>Reviewed dashboard v1.0 + QA log</t>
  </si>
  <si>
    <t>Streamlit, Plotly, pytest</t>
  </si>
  <si>
    <t>PHASE 4 · Documentation &amp; Reporting   (Weeks 9–10)</t>
  </si>
  <si>
    <t>W9</t>
  </si>
  <si>
    <t>Week 9</t>
  </si>
  <si>
    <t>8–12 Jun</t>
  </si>
  <si>
    <t>• Write Methods section (data pipeline, NLP pipeline, network methods)
• Write Results &amp; Findings (tables, plots, key numbers)
• Document codebase (docstrings + README.md)
• Document Streamlit architecture (data flow diagram)</t>
  </si>
  <si>
    <t>Draft report (50%) + documented codebase</t>
  </si>
  <si>
    <t>LaTeX / Word, Sphinx (optional)</t>
  </si>
  <si>
    <t>W10</t>
  </si>
  <si>
    <t>Week 10</t>
  </si>
  <si>
    <t>15–19 Jun</t>
  </si>
  <si>
    <t>• Complete Discussion, Limitations &amp; Future Work sections
• Structure research paper in IMRAD format
• Prepare 10–12 slide defense presentation
• Defense rehearsal with supervisor
• Final submission of report + slides</t>
  </si>
  <si>
    <t>Final report + presentation slides</t>
  </si>
  <si>
    <t>PowerPoint / Beamer, Canva</t>
  </si>
  <si>
    <t>Weekly Task Tracker</t>
  </si>
  <si>
    <t>Week</t>
  </si>
  <si>
    <t>Task</t>
  </si>
  <si>
    <t>Phase</t>
  </si>
  <si>
    <t>Category</t>
  </si>
  <si>
    <t>Priority</t>
  </si>
  <si>
    <t>% Done</t>
  </si>
  <si>
    <t>Set up Python virtual environment</t>
  </si>
  <si>
    <t>Phase 1</t>
  </si>
  <si>
    <t>Setup</t>
  </si>
  <si>
    <t>High</t>
  </si>
  <si>
    <t>Install PRAW, yt-dlp, HuggingFace libs</t>
  </si>
  <si>
    <t>Implement Reddit scraper (PRAW)</t>
  </si>
  <si>
    <t>Scraping</t>
  </si>
  <si>
    <t>Implement YouTube scraper (yt-dlp)</t>
  </si>
  <si>
    <t>Design metadata schema</t>
  </si>
  <si>
    <t>Data Design</t>
  </si>
  <si>
    <t>Init Git repo + data dictionary</t>
  </si>
  <si>
    <t>Med</t>
  </si>
  <si>
    <t>Data cleaning pipeline</t>
  </si>
  <si>
    <t>EDA</t>
  </si>
  <si>
    <t>Spearman correlation: negativity × engagement</t>
  </si>
  <si>
    <t>Analysis</t>
  </si>
  <si>
    <t>We/Them pronoun lexicon + baseline metrics</t>
  </si>
  <si>
    <t>NLP</t>
  </si>
  <si>
    <t>Time-of-day &amp; reply-depth plots</t>
  </si>
  <si>
    <t>Viz</t>
  </si>
  <si>
    <t>Set up CLIP pipeline</t>
  </si>
  <si>
    <t>Phase 2</t>
  </si>
  <si>
    <t>Multimodal</t>
  </si>
  <si>
    <t>Image-text cosine similarity on Instagram subset</t>
  </si>
  <si>
    <t>Meme labelling (in/out/neutral)</t>
  </si>
  <si>
    <t>Build hashtag co-occurrence matrix</t>
  </si>
  <si>
    <t>Network</t>
  </si>
  <si>
    <t>NetworkX graph + centrality metrics</t>
  </si>
  <si>
    <t>Louvain community detection</t>
  </si>
  <si>
    <t>Build reply/reshare directed graphs</t>
  </si>
  <si>
    <t>Echo chamber detection (modularity)</t>
  </si>
  <si>
    <t>Cross-platform graph merge</t>
  </si>
  <si>
    <t>We/Them ratio per community</t>
  </si>
  <si>
    <t>Phase 3</t>
  </si>
  <si>
    <t>Perspective API toxicity scoring</t>
  </si>
  <si>
    <t>Cluster heatmaps + polarization index</t>
  </si>
  <si>
    <t>Streamlit app skeleton + sidebar filters</t>
  </si>
  <si>
    <t>Dashboard</t>
  </si>
  <si>
    <t>Cross-platform comparison tab</t>
  </si>
  <si>
    <t>Integrate network + toxicity charts</t>
  </si>
  <si>
    <t>Comparative tables (negativity/toxicity/topic density)</t>
  </si>
  <si>
    <t>Dashboard QA + bug fixes</t>
  </si>
  <si>
    <t>Mid-point supervisor review</t>
  </si>
  <si>
    <t>Review</t>
  </si>
  <si>
    <t>Write Methods section</t>
  </si>
  <si>
    <t>Phase 4</t>
  </si>
  <si>
    <t>Report</t>
  </si>
  <si>
    <t>Write Results &amp; Findings</t>
  </si>
  <si>
    <t>Code documentation + README</t>
  </si>
  <si>
    <t>Docs</t>
  </si>
  <si>
    <t>Write Discussion, Limits, Future Work</t>
  </si>
  <si>
    <t>Prepare 10–12 slide defense presentation</t>
  </si>
  <si>
    <t>Slides</t>
  </si>
  <si>
    <t>Defense rehearsal with supervisor</t>
  </si>
  <si>
    <t>Total tasks</t>
  </si>
  <si>
    <t xml:space="preserve"> Internship Roadmap — "We" vs "Them" Language Analysis on Social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</si>
</sst>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1D9E75"/>
      <name val="Arial"/>
      <family val="2"/>
    </font>
    <font>
      <b/>
      <sz val="10"/>
      <color rgb="FF1D9E75"/>
      <name val="Arial"/>
      <family val="2"/>
    </font>
    <font>
      <sz val="9"/>
      <color rgb="FF444441"/>
      <name val="Arial"/>
      <family val="2"/>
    </font>
    <font>
      <sz val="9"/>
      <color rgb="FF2C2C2A"/>
      <name val="Arial"/>
      <family val="2"/>
    </font>
    <font>
      <b/>
      <sz val="9"/>
      <color rgb="FF185FA5"/>
      <name val="Arial"/>
      <family val="2"/>
    </font>
    <font>
      <b/>
      <sz val="10"/>
      <color rgb="FF185FA5"/>
      <name val="Arial"/>
      <family val="2"/>
    </font>
    <font>
      <b/>
      <sz val="9"/>
      <color rgb="FF534AB7"/>
      <name val="Arial"/>
      <family val="2"/>
    </font>
    <font>
      <b/>
      <sz val="10"/>
      <color rgb="FF534AB7"/>
      <name val="Arial"/>
      <family val="2"/>
    </font>
    <font>
      <b/>
      <sz val="9"/>
      <color rgb="FF854F0B"/>
      <name val="Arial"/>
      <family val="2"/>
    </font>
    <font>
      <b/>
      <sz val="10"/>
      <color rgb="FF854F0B"/>
      <name val="Arial"/>
      <family val="2"/>
    </font>
    <font>
      <b/>
      <sz val="13"/>
      <color rgb="FFFFFFFF"/>
      <name val="Arial"/>
      <family val="2"/>
    </font>
    <font>
      <sz val="9"/>
      <color rgb="FF2C2C2A"/>
      <name val="Arial"/>
      <family val="2"/>
    </font>
    <font>
      <sz val="9"/>
      <color rgb="FF444441"/>
      <name val="Arial"/>
      <family val="2"/>
    </font>
    <font>
      <b/>
      <sz val="9"/>
      <color rgb="FF1D9E75"/>
      <name val="Arial"/>
      <family val="2"/>
    </font>
    <font>
      <b/>
      <sz val="14"/>
      <color rgb="FFFFFFFF"/>
      <name val="Arial"/>
      <family val="2"/>
    </font>
    <font>
      <b/>
      <sz val="9"/>
      <color rgb="FF534AB7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444441"/>
      </patternFill>
    </fill>
    <fill>
      <patternFill patternType="solid">
        <fgColor rgb="FF1D9E75"/>
      </patternFill>
    </fill>
    <fill>
      <patternFill patternType="solid">
        <fgColor rgb="FFE1F5EE"/>
      </patternFill>
    </fill>
    <fill>
      <patternFill patternType="solid">
        <fgColor rgb="FF185FA5"/>
      </patternFill>
    </fill>
    <fill>
      <patternFill patternType="solid">
        <fgColor rgb="FFE6F1FB"/>
      </patternFill>
    </fill>
    <fill>
      <patternFill patternType="solid">
        <fgColor rgb="FF534AB7"/>
      </patternFill>
    </fill>
    <fill>
      <patternFill patternType="solid">
        <fgColor rgb="FFEEEDFE"/>
      </patternFill>
    </fill>
    <fill>
      <patternFill patternType="solid">
        <fgColor rgb="FF854F0B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left" vertical="center" wrapText="1"/>
    </xf>
    <xf numFmtId="0" fontId="4" fillId="11" borderId="3" xfId="0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9" fontId="1" fillId="3" borderId="0" xfId="0" applyNumberFormat="1" applyFont="1" applyFill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12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indent="1"/>
    </xf>
    <xf numFmtId="0" fontId="1" fillId="8" borderId="2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1" fillId="4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7"/>
  <sheetViews>
    <sheetView tabSelected="1" zoomScale="125" workbookViewId="0">
      <pane ySplit="3" topLeftCell="A4" activePane="bottomLeft" state="frozen"/>
      <selection pane="bottomLeft" activeCell="D5" sqref="D5"/>
    </sheetView>
  </sheetViews>
  <sheetFormatPr baseColWidth="10" defaultColWidth="8.83203125" defaultRowHeight="15" x14ac:dyDescent="0.2"/>
  <cols>
    <col min="1" max="1" width="4" customWidth="1"/>
    <col min="2" max="2" width="18" customWidth="1"/>
    <col min="3" max="3" width="14" customWidth="1"/>
    <col min="4" max="4" width="52" customWidth="1"/>
    <col min="5" max="5" width="32" customWidth="1"/>
    <col min="6" max="6" width="20" customWidth="1"/>
    <col min="7" max="7" width="18" customWidth="1"/>
  </cols>
  <sheetData>
    <row r="1" spans="1:7" ht="36" customHeight="1" x14ac:dyDescent="0.2">
      <c r="A1" s="39" t="s">
        <v>135</v>
      </c>
      <c r="B1" s="37"/>
      <c r="C1" s="37"/>
      <c r="D1" s="37"/>
      <c r="E1" s="37"/>
      <c r="F1" s="37"/>
      <c r="G1" s="37"/>
    </row>
    <row r="2" spans="1:7" ht="6" customHeight="1" x14ac:dyDescent="0.2"/>
    <row r="3" spans="1:7" ht="28" customHeight="1" thickBo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22" customHeight="1" thickBot="1" x14ac:dyDescent="0.25">
      <c r="A4" s="43" t="s">
        <v>7</v>
      </c>
      <c r="B4" s="37"/>
      <c r="C4" s="37"/>
      <c r="D4" s="37"/>
      <c r="E4" s="37"/>
      <c r="F4" s="37"/>
      <c r="G4" s="37"/>
    </row>
    <row r="5" spans="1:7" ht="66" customHeight="1" x14ac:dyDescent="0.2">
      <c r="A5" s="2" t="s">
        <v>8</v>
      </c>
      <c r="B5" s="3" t="s">
        <v>9</v>
      </c>
      <c r="C5" s="4" t="s">
        <v>10</v>
      </c>
      <c r="D5" s="5" t="s">
        <v>11</v>
      </c>
      <c r="E5" s="6" t="s">
        <v>12</v>
      </c>
      <c r="F5" s="7" t="s">
        <v>13</v>
      </c>
      <c r="G5" s="8" t="s">
        <v>14</v>
      </c>
    </row>
    <row r="6" spans="1:7" ht="66" customHeight="1" thickBot="1" x14ac:dyDescent="0.25">
      <c r="A6" s="2" t="s">
        <v>15</v>
      </c>
      <c r="B6" s="3" t="s">
        <v>16</v>
      </c>
      <c r="C6" s="4" t="s">
        <v>17</v>
      </c>
      <c r="D6" s="5" t="s">
        <v>18</v>
      </c>
      <c r="E6" s="6" t="s">
        <v>19</v>
      </c>
      <c r="F6" s="7" t="s">
        <v>20</v>
      </c>
      <c r="G6" s="32" t="s">
        <v>21</v>
      </c>
    </row>
    <row r="7" spans="1:7" ht="22" customHeight="1" thickBot="1" x14ac:dyDescent="0.25">
      <c r="A7" s="40" t="s">
        <v>22</v>
      </c>
      <c r="B7" s="37"/>
      <c r="C7" s="37"/>
      <c r="D7" s="37"/>
      <c r="E7" s="37"/>
      <c r="F7" s="37"/>
      <c r="G7" s="37"/>
    </row>
    <row r="8" spans="1:7" ht="66" customHeight="1" x14ac:dyDescent="0.2">
      <c r="A8" s="9" t="s">
        <v>23</v>
      </c>
      <c r="B8" s="10" t="s">
        <v>24</v>
      </c>
      <c r="C8" s="11" t="s">
        <v>25</v>
      </c>
      <c r="D8" s="12" t="s">
        <v>26</v>
      </c>
      <c r="E8" s="13" t="s">
        <v>27</v>
      </c>
      <c r="F8" s="33" t="s">
        <v>28</v>
      </c>
      <c r="G8" s="15" t="s">
        <v>21</v>
      </c>
    </row>
    <row r="9" spans="1:7" ht="66" customHeight="1" x14ac:dyDescent="0.2">
      <c r="A9" s="9" t="s">
        <v>29</v>
      </c>
      <c r="B9" s="10" t="s">
        <v>30</v>
      </c>
      <c r="C9" s="11" t="s">
        <v>31</v>
      </c>
      <c r="D9" s="12" t="s">
        <v>32</v>
      </c>
      <c r="E9" s="13" t="s">
        <v>33</v>
      </c>
      <c r="F9" s="14" t="s">
        <v>34</v>
      </c>
      <c r="G9" s="15" t="s">
        <v>21</v>
      </c>
    </row>
    <row r="10" spans="1:7" ht="66" customHeight="1" thickBot="1" x14ac:dyDescent="0.25">
      <c r="A10" s="9" t="s">
        <v>35</v>
      </c>
      <c r="B10" s="10" t="s">
        <v>36</v>
      </c>
      <c r="C10" s="11" t="s">
        <v>37</v>
      </c>
      <c r="D10" s="12" t="s">
        <v>38</v>
      </c>
      <c r="E10" s="13" t="s">
        <v>39</v>
      </c>
      <c r="F10" s="14" t="s">
        <v>40</v>
      </c>
      <c r="G10" s="15" t="s">
        <v>21</v>
      </c>
    </row>
    <row r="11" spans="1:7" ht="22" customHeight="1" thickBot="1" x14ac:dyDescent="0.25">
      <c r="A11" s="41" t="s">
        <v>41</v>
      </c>
      <c r="B11" s="37"/>
      <c r="C11" s="37"/>
      <c r="D11" s="37"/>
      <c r="E11" s="37"/>
      <c r="F11" s="37"/>
      <c r="G11" s="37"/>
    </row>
    <row r="12" spans="1:7" ht="66" customHeight="1" x14ac:dyDescent="0.2">
      <c r="A12" s="16" t="s">
        <v>42</v>
      </c>
      <c r="B12" s="17" t="s">
        <v>43</v>
      </c>
      <c r="C12" s="18" t="s">
        <v>44</v>
      </c>
      <c r="D12" s="19" t="s">
        <v>45</v>
      </c>
      <c r="E12" s="20" t="s">
        <v>46</v>
      </c>
      <c r="F12" s="21" t="s">
        <v>47</v>
      </c>
      <c r="G12" s="22" t="s">
        <v>21</v>
      </c>
    </row>
    <row r="13" spans="1:7" ht="66" customHeight="1" x14ac:dyDescent="0.2">
      <c r="A13" s="16" t="s">
        <v>48</v>
      </c>
      <c r="B13" s="17" t="s">
        <v>49</v>
      </c>
      <c r="C13" s="18" t="s">
        <v>50</v>
      </c>
      <c r="D13" s="19" t="s">
        <v>51</v>
      </c>
      <c r="E13" s="20" t="s">
        <v>52</v>
      </c>
      <c r="F13" s="21" t="s">
        <v>53</v>
      </c>
      <c r="G13" s="22" t="s">
        <v>21</v>
      </c>
    </row>
    <row r="14" spans="1:7" ht="66" customHeight="1" thickBot="1" x14ac:dyDescent="0.25">
      <c r="A14" s="16" t="s">
        <v>54</v>
      </c>
      <c r="B14" s="17" t="s">
        <v>55</v>
      </c>
      <c r="C14" s="18" t="s">
        <v>56</v>
      </c>
      <c r="D14" s="19" t="s">
        <v>57</v>
      </c>
      <c r="E14" s="35" t="s">
        <v>58</v>
      </c>
      <c r="F14" s="21" t="s">
        <v>59</v>
      </c>
      <c r="G14" s="22" t="s">
        <v>21</v>
      </c>
    </row>
    <row r="15" spans="1:7" ht="22" customHeight="1" thickBot="1" x14ac:dyDescent="0.25">
      <c r="A15" s="42" t="s">
        <v>60</v>
      </c>
      <c r="B15" s="37"/>
      <c r="C15" s="37"/>
      <c r="D15" s="37"/>
      <c r="E15" s="37"/>
      <c r="F15" s="37"/>
      <c r="G15" s="37"/>
    </row>
    <row r="16" spans="1:7" ht="66" customHeight="1" x14ac:dyDescent="0.2">
      <c r="A16" s="23" t="s">
        <v>61</v>
      </c>
      <c r="B16" s="24" t="s">
        <v>62</v>
      </c>
      <c r="C16" s="25" t="s">
        <v>63</v>
      </c>
      <c r="D16" s="26" t="s">
        <v>64</v>
      </c>
      <c r="E16" s="27" t="s">
        <v>65</v>
      </c>
      <c r="F16" s="28" t="s">
        <v>66</v>
      </c>
      <c r="G16" s="29" t="s">
        <v>21</v>
      </c>
    </row>
    <row r="17" spans="1:7" ht="81" customHeight="1" x14ac:dyDescent="0.2">
      <c r="A17" s="23" t="s">
        <v>67</v>
      </c>
      <c r="B17" s="24" t="s">
        <v>68</v>
      </c>
      <c r="C17" s="25" t="s">
        <v>69</v>
      </c>
      <c r="D17" s="26" t="s">
        <v>70</v>
      </c>
      <c r="E17" s="27" t="s">
        <v>71</v>
      </c>
      <c r="F17" s="28" t="s">
        <v>72</v>
      </c>
      <c r="G17" s="29" t="s">
        <v>21</v>
      </c>
    </row>
  </sheetData>
  <mergeCells count="5">
    <mergeCell ref="A1:G1"/>
    <mergeCell ref="A7:G7"/>
    <mergeCell ref="A11:G11"/>
    <mergeCell ref="A15:G15"/>
    <mergeCell ref="A4:G4"/>
  </mergeCells>
  <pageMargins left="0.75" right="0.75" top="1" bottom="1" header="0.5" footer="0.5"/>
  <pageSetup paperSize="9" scale="51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7"/>
  <sheetViews>
    <sheetView zoomScale="89" workbookViewId="0">
      <pane ySplit="2" topLeftCell="A3" activePane="bottomLeft" state="frozen"/>
      <selection pane="bottomLeft" activeCell="M33" sqref="M33"/>
    </sheetView>
  </sheetViews>
  <sheetFormatPr baseColWidth="10" defaultColWidth="8.83203125" defaultRowHeight="15" x14ac:dyDescent="0.2"/>
  <cols>
    <col min="1" max="1" width="8" customWidth="1"/>
    <col min="2" max="2" width="36" customWidth="1"/>
    <col min="3" max="4" width="18" customWidth="1"/>
    <col min="5" max="5" width="14" customWidth="1"/>
    <col min="6" max="6" width="22" customWidth="1"/>
    <col min="7" max="7" width="14" customWidth="1"/>
  </cols>
  <sheetData>
    <row r="1" spans="1:7" ht="34" customHeight="1" x14ac:dyDescent="0.2">
      <c r="A1" s="38" t="s">
        <v>73</v>
      </c>
      <c r="B1" s="37"/>
      <c r="C1" s="37"/>
      <c r="D1" s="37"/>
      <c r="E1" s="37"/>
      <c r="F1" s="37"/>
      <c r="G1" s="37"/>
    </row>
    <row r="2" spans="1:7" ht="22" customHeight="1" x14ac:dyDescent="0.2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  <c r="F2" s="1" t="s">
        <v>6</v>
      </c>
      <c r="G2" s="1" t="s">
        <v>79</v>
      </c>
    </row>
    <row r="3" spans="1:7" ht="18" customHeight="1" x14ac:dyDescent="0.2">
      <c r="A3" s="34" t="s">
        <v>8</v>
      </c>
      <c r="B3" s="5" t="s">
        <v>80</v>
      </c>
      <c r="C3" s="6" t="s">
        <v>81</v>
      </c>
      <c r="D3" s="5" t="s">
        <v>82</v>
      </c>
      <c r="E3" s="8" t="s">
        <v>83</v>
      </c>
      <c r="F3" s="8" t="s">
        <v>14</v>
      </c>
      <c r="G3" s="8" t="str">
        <f t="shared" ref="G3:G36" si="0">F3</f>
        <v>🔄 In progress</v>
      </c>
    </row>
    <row r="4" spans="1:7" ht="18" customHeight="1" x14ac:dyDescent="0.2">
      <c r="A4" s="2" t="s">
        <v>8</v>
      </c>
      <c r="B4" s="5" t="s">
        <v>84</v>
      </c>
      <c r="C4" s="6" t="s">
        <v>81</v>
      </c>
      <c r="D4" s="5" t="s">
        <v>82</v>
      </c>
      <c r="E4" s="8" t="s">
        <v>83</v>
      </c>
      <c r="F4" s="8" t="s">
        <v>14</v>
      </c>
      <c r="G4" s="8" t="str">
        <f t="shared" si="0"/>
        <v>🔄 In progress</v>
      </c>
    </row>
    <row r="5" spans="1:7" ht="18" customHeight="1" x14ac:dyDescent="0.2">
      <c r="A5" s="2" t="s">
        <v>8</v>
      </c>
      <c r="B5" s="5" t="s">
        <v>85</v>
      </c>
      <c r="C5" s="6" t="s">
        <v>81</v>
      </c>
      <c r="D5" s="5" t="s">
        <v>86</v>
      </c>
      <c r="E5" s="8" t="s">
        <v>83</v>
      </c>
      <c r="F5" s="8" t="s">
        <v>21</v>
      </c>
      <c r="G5" s="8" t="str">
        <f t="shared" si="0"/>
        <v>⬜ Not started</v>
      </c>
    </row>
    <row r="6" spans="1:7" ht="18" customHeight="1" x14ac:dyDescent="0.2">
      <c r="A6" s="2" t="s">
        <v>8</v>
      </c>
      <c r="B6" s="5" t="s">
        <v>87</v>
      </c>
      <c r="C6" s="6" t="s">
        <v>81</v>
      </c>
      <c r="D6" s="5" t="s">
        <v>86</v>
      </c>
      <c r="E6" s="8" t="s">
        <v>83</v>
      </c>
      <c r="F6" s="8" t="s">
        <v>21</v>
      </c>
      <c r="G6" s="8" t="str">
        <f t="shared" si="0"/>
        <v>⬜ Not started</v>
      </c>
    </row>
    <row r="7" spans="1:7" ht="18" customHeight="1" x14ac:dyDescent="0.2">
      <c r="A7" s="2" t="s">
        <v>8</v>
      </c>
      <c r="B7" s="5" t="s">
        <v>88</v>
      </c>
      <c r="C7" s="6" t="s">
        <v>81</v>
      </c>
      <c r="D7" s="5" t="s">
        <v>89</v>
      </c>
      <c r="E7" s="8" t="s">
        <v>83</v>
      </c>
      <c r="F7" s="8" t="s">
        <v>21</v>
      </c>
      <c r="G7" s="8" t="str">
        <f t="shared" si="0"/>
        <v>⬜ Not started</v>
      </c>
    </row>
    <row r="8" spans="1:7" ht="18" customHeight="1" x14ac:dyDescent="0.2">
      <c r="A8" s="2" t="s">
        <v>8</v>
      </c>
      <c r="B8" s="5" t="s">
        <v>90</v>
      </c>
      <c r="C8" s="6" t="s">
        <v>81</v>
      </c>
      <c r="D8" s="5" t="s">
        <v>82</v>
      </c>
      <c r="E8" s="8" t="s">
        <v>91</v>
      </c>
      <c r="F8" s="8" t="s">
        <v>21</v>
      </c>
      <c r="G8" s="8" t="str">
        <f t="shared" si="0"/>
        <v>⬜ Not started</v>
      </c>
    </row>
    <row r="9" spans="1:7" ht="18" customHeight="1" x14ac:dyDescent="0.2">
      <c r="A9" s="2" t="s">
        <v>15</v>
      </c>
      <c r="B9" s="5" t="s">
        <v>92</v>
      </c>
      <c r="C9" s="6" t="s">
        <v>81</v>
      </c>
      <c r="D9" s="5" t="s">
        <v>93</v>
      </c>
      <c r="E9" s="8" t="s">
        <v>83</v>
      </c>
      <c r="F9" s="8" t="s">
        <v>21</v>
      </c>
      <c r="G9" s="8" t="str">
        <f t="shared" si="0"/>
        <v>⬜ Not started</v>
      </c>
    </row>
    <row r="10" spans="1:7" ht="18" customHeight="1" x14ac:dyDescent="0.2">
      <c r="A10" s="2" t="s">
        <v>15</v>
      </c>
      <c r="B10" s="5" t="s">
        <v>94</v>
      </c>
      <c r="C10" s="6" t="s">
        <v>81</v>
      </c>
      <c r="D10" s="5" t="s">
        <v>95</v>
      </c>
      <c r="E10" s="8" t="s">
        <v>83</v>
      </c>
      <c r="F10" s="8" t="s">
        <v>21</v>
      </c>
      <c r="G10" s="8" t="str">
        <f t="shared" si="0"/>
        <v>⬜ Not started</v>
      </c>
    </row>
    <row r="11" spans="1:7" ht="18" customHeight="1" x14ac:dyDescent="0.2">
      <c r="A11" s="2" t="s">
        <v>15</v>
      </c>
      <c r="B11" s="5" t="s">
        <v>96</v>
      </c>
      <c r="C11" s="6" t="s">
        <v>81</v>
      </c>
      <c r="D11" s="5" t="s">
        <v>97</v>
      </c>
      <c r="E11" s="8" t="s">
        <v>83</v>
      </c>
      <c r="F11" s="8" t="s">
        <v>21</v>
      </c>
      <c r="G11" s="8" t="str">
        <f t="shared" si="0"/>
        <v>⬜ Not started</v>
      </c>
    </row>
    <row r="12" spans="1:7" ht="18" customHeight="1" x14ac:dyDescent="0.2">
      <c r="A12" s="2" t="s">
        <v>15</v>
      </c>
      <c r="B12" s="5" t="s">
        <v>98</v>
      </c>
      <c r="C12" s="6" t="s">
        <v>81</v>
      </c>
      <c r="D12" s="5" t="s">
        <v>99</v>
      </c>
      <c r="E12" s="8" t="s">
        <v>91</v>
      </c>
      <c r="F12" s="8" t="s">
        <v>21</v>
      </c>
      <c r="G12" s="8" t="str">
        <f t="shared" si="0"/>
        <v>⬜ Not started</v>
      </c>
    </row>
    <row r="13" spans="1:7" ht="18" customHeight="1" x14ac:dyDescent="0.2">
      <c r="A13" s="9" t="s">
        <v>23</v>
      </c>
      <c r="B13" s="12" t="s">
        <v>100</v>
      </c>
      <c r="C13" s="13" t="s">
        <v>101</v>
      </c>
      <c r="D13" s="12" t="s">
        <v>102</v>
      </c>
      <c r="E13" s="15" t="s">
        <v>83</v>
      </c>
      <c r="F13" s="15" t="s">
        <v>21</v>
      </c>
      <c r="G13" s="15" t="str">
        <f t="shared" si="0"/>
        <v>⬜ Not started</v>
      </c>
    </row>
    <row r="14" spans="1:7" ht="18" customHeight="1" x14ac:dyDescent="0.2">
      <c r="A14" s="9" t="s">
        <v>23</v>
      </c>
      <c r="B14" s="12" t="s">
        <v>103</v>
      </c>
      <c r="C14" s="13" t="s">
        <v>101</v>
      </c>
      <c r="D14" s="12" t="s">
        <v>102</v>
      </c>
      <c r="E14" s="15" t="s">
        <v>83</v>
      </c>
      <c r="F14" s="15" t="s">
        <v>21</v>
      </c>
      <c r="G14" s="15" t="str">
        <f t="shared" si="0"/>
        <v>⬜ Not started</v>
      </c>
    </row>
    <row r="15" spans="1:7" ht="18" customHeight="1" x14ac:dyDescent="0.2">
      <c r="A15" s="9" t="s">
        <v>23</v>
      </c>
      <c r="B15" s="12" t="s">
        <v>104</v>
      </c>
      <c r="C15" s="13" t="s">
        <v>101</v>
      </c>
      <c r="D15" s="12" t="s">
        <v>102</v>
      </c>
      <c r="E15" s="15" t="s">
        <v>91</v>
      </c>
      <c r="F15" s="15" t="s">
        <v>21</v>
      </c>
      <c r="G15" s="15" t="str">
        <f t="shared" si="0"/>
        <v>⬜ Not started</v>
      </c>
    </row>
    <row r="16" spans="1:7" ht="18" customHeight="1" x14ac:dyDescent="0.2">
      <c r="A16" s="9" t="s">
        <v>29</v>
      </c>
      <c r="B16" s="12" t="s">
        <v>105</v>
      </c>
      <c r="C16" s="13" t="s">
        <v>101</v>
      </c>
      <c r="D16" s="12" t="s">
        <v>106</v>
      </c>
      <c r="E16" s="15" t="s">
        <v>83</v>
      </c>
      <c r="F16" s="15" t="s">
        <v>21</v>
      </c>
      <c r="G16" s="15" t="str">
        <f t="shared" si="0"/>
        <v>⬜ Not started</v>
      </c>
    </row>
    <row r="17" spans="1:7" ht="18" customHeight="1" x14ac:dyDescent="0.2">
      <c r="A17" s="9" t="s">
        <v>29</v>
      </c>
      <c r="B17" s="12" t="s">
        <v>107</v>
      </c>
      <c r="C17" s="13" t="s">
        <v>101</v>
      </c>
      <c r="D17" s="12" t="s">
        <v>106</v>
      </c>
      <c r="E17" s="15" t="s">
        <v>83</v>
      </c>
      <c r="F17" s="15" t="s">
        <v>21</v>
      </c>
      <c r="G17" s="15" t="str">
        <f t="shared" si="0"/>
        <v>⬜ Not started</v>
      </c>
    </row>
    <row r="18" spans="1:7" ht="18" customHeight="1" x14ac:dyDescent="0.2">
      <c r="A18" s="9" t="s">
        <v>29</v>
      </c>
      <c r="B18" s="12" t="s">
        <v>108</v>
      </c>
      <c r="C18" s="13" t="s">
        <v>101</v>
      </c>
      <c r="D18" s="12" t="s">
        <v>106</v>
      </c>
      <c r="E18" s="15" t="s">
        <v>83</v>
      </c>
      <c r="F18" s="15" t="s">
        <v>21</v>
      </c>
      <c r="G18" s="15" t="str">
        <f t="shared" si="0"/>
        <v>⬜ Not started</v>
      </c>
    </row>
    <row r="19" spans="1:7" ht="18" customHeight="1" x14ac:dyDescent="0.2">
      <c r="A19" s="9" t="s">
        <v>35</v>
      </c>
      <c r="B19" s="12" t="s">
        <v>109</v>
      </c>
      <c r="C19" s="13" t="s">
        <v>101</v>
      </c>
      <c r="D19" s="12" t="s">
        <v>106</v>
      </c>
      <c r="E19" s="15" t="s">
        <v>83</v>
      </c>
      <c r="F19" s="15" t="s">
        <v>21</v>
      </c>
      <c r="G19" s="15" t="str">
        <f t="shared" si="0"/>
        <v>⬜ Not started</v>
      </c>
    </row>
    <row r="20" spans="1:7" ht="18" customHeight="1" x14ac:dyDescent="0.2">
      <c r="A20" s="9" t="s">
        <v>35</v>
      </c>
      <c r="B20" s="12" t="s">
        <v>110</v>
      </c>
      <c r="C20" s="13" t="s">
        <v>101</v>
      </c>
      <c r="D20" s="12" t="s">
        <v>106</v>
      </c>
      <c r="E20" s="15" t="s">
        <v>83</v>
      </c>
      <c r="F20" s="15" t="s">
        <v>21</v>
      </c>
      <c r="G20" s="15" t="str">
        <f t="shared" si="0"/>
        <v>⬜ Not started</v>
      </c>
    </row>
    <row r="21" spans="1:7" ht="18" customHeight="1" x14ac:dyDescent="0.2">
      <c r="A21" s="9" t="s">
        <v>35</v>
      </c>
      <c r="B21" s="12" t="s">
        <v>111</v>
      </c>
      <c r="C21" s="13" t="s">
        <v>101</v>
      </c>
      <c r="D21" s="12" t="s">
        <v>106</v>
      </c>
      <c r="E21" s="15" t="s">
        <v>91</v>
      </c>
      <c r="F21" s="15" t="s">
        <v>21</v>
      </c>
      <c r="G21" s="15" t="str">
        <f t="shared" si="0"/>
        <v>⬜ Not started</v>
      </c>
    </row>
    <row r="22" spans="1:7" ht="18" customHeight="1" x14ac:dyDescent="0.2">
      <c r="A22" s="16" t="s">
        <v>42</v>
      </c>
      <c r="B22" s="19" t="s">
        <v>112</v>
      </c>
      <c r="C22" s="20" t="s">
        <v>113</v>
      </c>
      <c r="D22" s="19" t="s">
        <v>97</v>
      </c>
      <c r="E22" s="22" t="s">
        <v>83</v>
      </c>
      <c r="F22" s="22" t="s">
        <v>21</v>
      </c>
      <c r="G22" s="22" t="str">
        <f t="shared" si="0"/>
        <v>⬜ Not started</v>
      </c>
    </row>
    <row r="23" spans="1:7" ht="18" customHeight="1" x14ac:dyDescent="0.2">
      <c r="A23" s="16" t="s">
        <v>42</v>
      </c>
      <c r="B23" s="19" t="s">
        <v>114</v>
      </c>
      <c r="C23" s="20" t="s">
        <v>113</v>
      </c>
      <c r="D23" s="19" t="s">
        <v>97</v>
      </c>
      <c r="E23" s="22" t="s">
        <v>83</v>
      </c>
      <c r="F23" s="22" t="s">
        <v>21</v>
      </c>
      <c r="G23" s="22" t="str">
        <f t="shared" si="0"/>
        <v>⬜ Not started</v>
      </c>
    </row>
    <row r="24" spans="1:7" ht="18" customHeight="1" x14ac:dyDescent="0.2">
      <c r="A24" s="16" t="s">
        <v>42</v>
      </c>
      <c r="B24" s="19" t="s">
        <v>115</v>
      </c>
      <c r="C24" s="20" t="s">
        <v>113</v>
      </c>
      <c r="D24" s="19" t="s">
        <v>99</v>
      </c>
      <c r="E24" s="22" t="s">
        <v>91</v>
      </c>
      <c r="F24" s="22" t="s">
        <v>21</v>
      </c>
      <c r="G24" s="22" t="str">
        <f t="shared" si="0"/>
        <v>⬜ Not started</v>
      </c>
    </row>
    <row r="25" spans="1:7" ht="18" customHeight="1" x14ac:dyDescent="0.2">
      <c r="A25" s="16" t="s">
        <v>48</v>
      </c>
      <c r="B25" s="19" t="s">
        <v>116</v>
      </c>
      <c r="C25" s="20" t="s">
        <v>113</v>
      </c>
      <c r="D25" s="19" t="s">
        <v>117</v>
      </c>
      <c r="E25" s="22" t="s">
        <v>83</v>
      </c>
      <c r="F25" s="22" t="s">
        <v>21</v>
      </c>
      <c r="G25" s="22" t="str">
        <f t="shared" si="0"/>
        <v>⬜ Not started</v>
      </c>
    </row>
    <row r="26" spans="1:7" ht="18" customHeight="1" x14ac:dyDescent="0.2">
      <c r="A26" s="16" t="s">
        <v>48</v>
      </c>
      <c r="B26" s="19" t="s">
        <v>118</v>
      </c>
      <c r="C26" s="20" t="s">
        <v>113</v>
      </c>
      <c r="D26" s="19" t="s">
        <v>117</v>
      </c>
      <c r="E26" s="22" t="s">
        <v>83</v>
      </c>
      <c r="F26" s="22" t="s">
        <v>21</v>
      </c>
      <c r="G26" s="22" t="str">
        <f t="shared" si="0"/>
        <v>⬜ Not started</v>
      </c>
    </row>
    <row r="27" spans="1:7" ht="18" customHeight="1" x14ac:dyDescent="0.2">
      <c r="A27" s="16" t="s">
        <v>48</v>
      </c>
      <c r="B27" s="19" t="s">
        <v>119</v>
      </c>
      <c r="C27" s="20" t="s">
        <v>113</v>
      </c>
      <c r="D27" s="19" t="s">
        <v>117</v>
      </c>
      <c r="E27" s="22" t="s">
        <v>83</v>
      </c>
      <c r="F27" s="22" t="s">
        <v>21</v>
      </c>
      <c r="G27" s="22" t="str">
        <f t="shared" si="0"/>
        <v>⬜ Not started</v>
      </c>
    </row>
    <row r="28" spans="1:7" ht="29" customHeight="1" x14ac:dyDescent="0.2">
      <c r="A28" s="16" t="s">
        <v>54</v>
      </c>
      <c r="B28" s="19" t="s">
        <v>120</v>
      </c>
      <c r="C28" s="20" t="s">
        <v>113</v>
      </c>
      <c r="D28" s="19" t="s">
        <v>95</v>
      </c>
      <c r="E28" s="22" t="s">
        <v>83</v>
      </c>
      <c r="F28" s="22" t="s">
        <v>21</v>
      </c>
      <c r="G28" s="22" t="str">
        <f t="shared" si="0"/>
        <v>⬜ Not started</v>
      </c>
    </row>
    <row r="29" spans="1:7" ht="18" customHeight="1" x14ac:dyDescent="0.2">
      <c r="A29" s="16" t="s">
        <v>54</v>
      </c>
      <c r="B29" s="19" t="s">
        <v>121</v>
      </c>
      <c r="C29" s="20" t="s">
        <v>113</v>
      </c>
      <c r="D29" s="19" t="s">
        <v>117</v>
      </c>
      <c r="E29" s="22" t="s">
        <v>83</v>
      </c>
      <c r="F29" s="22" t="s">
        <v>21</v>
      </c>
      <c r="G29" s="22" t="str">
        <f t="shared" si="0"/>
        <v>⬜ Not started</v>
      </c>
    </row>
    <row r="30" spans="1:7" ht="18" customHeight="1" x14ac:dyDescent="0.2">
      <c r="A30" s="16" t="s">
        <v>54</v>
      </c>
      <c r="B30" s="19" t="s">
        <v>122</v>
      </c>
      <c r="C30" s="20" t="s">
        <v>113</v>
      </c>
      <c r="D30" s="19" t="s">
        <v>123</v>
      </c>
      <c r="E30" s="22" t="s">
        <v>83</v>
      </c>
      <c r="F30" s="22" t="s">
        <v>21</v>
      </c>
      <c r="G30" s="22" t="str">
        <f>F30</f>
        <v>⬜ Not started</v>
      </c>
    </row>
    <row r="31" spans="1:7" ht="18" customHeight="1" x14ac:dyDescent="0.2">
      <c r="A31" s="23" t="s">
        <v>61</v>
      </c>
      <c r="B31" s="26" t="s">
        <v>124</v>
      </c>
      <c r="C31" s="27" t="s">
        <v>125</v>
      </c>
      <c r="D31" s="26" t="s">
        <v>126</v>
      </c>
      <c r="E31" s="29" t="s">
        <v>83</v>
      </c>
      <c r="F31" s="29" t="s">
        <v>21</v>
      </c>
      <c r="G31" s="29" t="str">
        <f t="shared" si="0"/>
        <v>⬜ Not started</v>
      </c>
    </row>
    <row r="32" spans="1:7" ht="18" customHeight="1" x14ac:dyDescent="0.2">
      <c r="A32" s="23" t="s">
        <v>61</v>
      </c>
      <c r="B32" s="26" t="s">
        <v>127</v>
      </c>
      <c r="C32" s="27" t="s">
        <v>125</v>
      </c>
      <c r="D32" s="26" t="s">
        <v>126</v>
      </c>
      <c r="E32" s="29" t="s">
        <v>83</v>
      </c>
      <c r="F32" s="29" t="s">
        <v>21</v>
      </c>
      <c r="G32" s="29" t="str">
        <f t="shared" si="0"/>
        <v>⬜ Not started</v>
      </c>
    </row>
    <row r="33" spans="1:7" ht="18" customHeight="1" x14ac:dyDescent="0.2">
      <c r="A33" s="23" t="s">
        <v>61</v>
      </c>
      <c r="B33" s="26" t="s">
        <v>128</v>
      </c>
      <c r="C33" s="27" t="s">
        <v>125</v>
      </c>
      <c r="D33" s="26" t="s">
        <v>129</v>
      </c>
      <c r="E33" s="29" t="s">
        <v>91</v>
      </c>
      <c r="F33" s="29" t="s">
        <v>21</v>
      </c>
      <c r="G33" s="29" t="str">
        <f t="shared" si="0"/>
        <v>⬜ Not started</v>
      </c>
    </row>
    <row r="34" spans="1:7" ht="18" customHeight="1" x14ac:dyDescent="0.2">
      <c r="A34" s="23" t="s">
        <v>67</v>
      </c>
      <c r="B34" s="26" t="s">
        <v>130</v>
      </c>
      <c r="C34" s="27" t="s">
        <v>125</v>
      </c>
      <c r="D34" s="26" t="s">
        <v>126</v>
      </c>
      <c r="E34" s="29" t="s">
        <v>83</v>
      </c>
      <c r="F34" s="29" t="s">
        <v>21</v>
      </c>
      <c r="G34" s="29" t="str">
        <f t="shared" si="0"/>
        <v>⬜ Not started</v>
      </c>
    </row>
    <row r="35" spans="1:7" ht="18" customHeight="1" x14ac:dyDescent="0.2">
      <c r="A35" s="23" t="s">
        <v>67</v>
      </c>
      <c r="B35" s="26" t="s">
        <v>131</v>
      </c>
      <c r="C35" s="27" t="s">
        <v>125</v>
      </c>
      <c r="D35" s="26" t="s">
        <v>132</v>
      </c>
      <c r="E35" s="29" t="s">
        <v>83</v>
      </c>
      <c r="F35" s="29" t="s">
        <v>21</v>
      </c>
      <c r="G35" s="29" t="str">
        <f t="shared" si="0"/>
        <v>⬜ Not started</v>
      </c>
    </row>
    <row r="36" spans="1:7" ht="18" customHeight="1" x14ac:dyDescent="0.2">
      <c r="A36" s="23" t="s">
        <v>67</v>
      </c>
      <c r="B36" s="26" t="s">
        <v>133</v>
      </c>
      <c r="C36" s="27" t="s">
        <v>125</v>
      </c>
      <c r="D36" s="26" t="s">
        <v>123</v>
      </c>
      <c r="E36" s="29" t="s">
        <v>83</v>
      </c>
      <c r="F36" s="29" t="s">
        <v>21</v>
      </c>
      <c r="G36" s="29" t="str">
        <f t="shared" si="0"/>
        <v>⬜ Not started</v>
      </c>
    </row>
    <row r="37" spans="1:7" ht="20" customHeight="1" x14ac:dyDescent="0.2">
      <c r="A37" s="36" t="s">
        <v>134</v>
      </c>
      <c r="B37" s="37"/>
      <c r="C37" s="37"/>
      <c r="D37" s="37"/>
      <c r="E37" s="37"/>
      <c r="F37" s="30">
        <f>COUNTIF(F3:F36,"✅ Done")</f>
        <v>0</v>
      </c>
      <c r="G37" s="31">
        <f>F37/COUNTA(F3:F36)</f>
        <v>0</v>
      </c>
    </row>
  </sheetData>
  <mergeCells count="2">
    <mergeCell ref="A37:E37"/>
    <mergeCell ref="A1:G1"/>
  </mergeCells>
  <pageMargins left="0.75" right="0.75" top="1" bottom="1" header="0.5" footer="0.5"/>
  <pageSetup paperSize="9" scale="6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Roadmap Overview</vt:lpstr>
      <vt:lpstr>Weekly Task Tracker</vt:lpstr>
      <vt:lpstr>'Roadmap Overview'!Zone_d_impression</vt:lpstr>
      <vt:lpstr>'Weekly Task Tracker'!Zone_d_impression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Milan Loi</cp:lastModifiedBy>
  <dcterms:created xsi:type="dcterms:W3CDTF">2026-04-14T09:35:19Z</dcterms:created>
  <dcterms:modified xsi:type="dcterms:W3CDTF">2026-04-17T13:55:38Z</dcterms:modified>
</cp:coreProperties>
</file>